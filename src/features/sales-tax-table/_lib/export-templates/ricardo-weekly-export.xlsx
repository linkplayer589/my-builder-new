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NVJEdIIqEugG8D8yRjZFPKWTVwHWQrrexScKM86uVQ="/>
    </ext>
  </extLst>
</workbook>
</file>

<file path=xl/sharedStrings.xml><?xml version="1.0" encoding="utf-8"?>
<sst xmlns="http://schemas.openxmlformats.org/spreadsheetml/2006/main" count="114" uniqueCount="57">
  <si>
    <t>MOUNTAIN TECHNOLOGIES - ITALY</t>
  </si>
  <si>
    <t>Weekly information for Ricardo</t>
  </si>
  <si>
    <t xml:space="preserve">Week ending </t>
  </si>
  <si>
    <t>Sunday</t>
  </si>
  <si>
    <t>ONLINE</t>
  </si>
  <si>
    <t>LifePass</t>
  </si>
  <si>
    <t>Stripe Deductions</t>
  </si>
  <si>
    <t>NET</t>
  </si>
  <si>
    <t>For the “Ricardo” document, which will be uploaded daily for weekly reporting, I need:</t>
  </si>
  <si>
    <t>Total charge</t>
  </si>
  <si>
    <t>Gross</t>
  </si>
  <si>
    <t>VAT</t>
  </si>
  <si>
    <t>Net</t>
  </si>
  <si>
    <t>CASH</t>
  </si>
  <si>
    <t>€</t>
  </si>
  <si>
    <t>1- Automatic</t>
  </si>
  <si>
    <t>Mon</t>
  </si>
  <si>
    <t>The gross totals of LP + SP + SC + LP ONLINE individually for each.</t>
  </si>
  <si>
    <t>Tue</t>
  </si>
  <si>
    <t>The VAT of LP + SP + SC + LP ONLINE individually for each.</t>
  </si>
  <si>
    <t>Wed</t>
  </si>
  <si>
    <t>Total from Skidata Report.</t>
  </si>
  <si>
    <t>Thu</t>
  </si>
  <si>
    <t>Fri</t>
  </si>
  <si>
    <t>2- Manual:</t>
  </si>
  <si>
    <t>Sat</t>
  </si>
  <si>
    <t>Sun</t>
  </si>
  <si>
    <t>Stripe Fees NET + VAT on Fees + Total Captured</t>
  </si>
  <si>
    <t>TOTAL</t>
  </si>
  <si>
    <t>VAT from the Revenue Agency</t>
  </si>
  <si>
    <t>NL Posting</t>
  </si>
  <si>
    <t>Output tax</t>
  </si>
  <si>
    <t>Sales - LifePass</t>
  </si>
  <si>
    <t>Input tax</t>
  </si>
  <si>
    <t>Stripe charges</t>
  </si>
  <si>
    <t>Bank</t>
  </si>
  <si>
    <t>Reconciliation of Skidata Orders and Total Ski Passes Sold</t>
  </si>
  <si>
    <t>Verification of Sales Tax Reporting vs. Stripe Totals</t>
  </si>
  <si>
    <t>VAT Reconciliation: Sales Tax Reporting vs. Agenzia delle Entrate</t>
  </si>
  <si>
    <t xml:space="preserve">Total Processing Fee </t>
  </si>
  <si>
    <t>Total to receive from Stripe</t>
  </si>
  <si>
    <t>Manual</t>
  </si>
  <si>
    <t>KIOSKS</t>
  </si>
  <si>
    <t>Skipasses</t>
  </si>
  <si>
    <t>Insurance</t>
  </si>
  <si>
    <t>Total Skidata-report</t>
  </si>
  <si>
    <t>Total Skipasses Gross</t>
  </si>
  <si>
    <t>Control</t>
  </si>
  <si>
    <t>Total SP + LP + SC + LP ONLINE Gross</t>
  </si>
  <si>
    <t>Total Stripe Captured</t>
  </si>
  <si>
    <t>TVA SP + LP + SC + LP ONLINE</t>
  </si>
  <si>
    <t>Information taken from the Revenue Agency</t>
  </si>
  <si>
    <t>Funivie</t>
  </si>
  <si>
    <t>Snowcare</t>
  </si>
  <si>
    <t xml:space="preserve">Gross </t>
  </si>
  <si>
    <t>Sales - Skipasses</t>
  </si>
  <si>
    <t>Sales - Insurance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</si>
</sst>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\(#,##0.00\)"/>
  </numFmts>
  <fonts count="20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6.0"/>
      <color theme="1"/>
      <name val="Aptos Narrow"/>
    </font>
    <font>
      <sz val="16.0"/>
      <color theme="1"/>
      <name val="Aptos Narrow"/>
    </font>
    <font/>
    <font>
      <color theme="1"/>
      <name val="Aptos Narrow"/>
      <scheme val="minor"/>
    </font>
    <font>
      <b/>
      <sz val="16.0"/>
      <color rgb="FFFF0000"/>
      <name val="Aptos Narrow"/>
    </font>
    <font>
      <u/>
      <sz val="9.0"/>
      <color theme="1"/>
      <name val="Aptos Narrow"/>
    </font>
    <font>
      <b/>
      <i/>
      <sz val="11.0"/>
      <color rgb="FFFF0000"/>
      <name val="Aptos Narrow"/>
    </font>
    <font>
      <sz val="9.0"/>
      <color theme="1"/>
      <name val="Aptos Narrow"/>
    </font>
    <font>
      <b/>
      <i/>
      <sz val="11.0"/>
      <color theme="1"/>
      <name val="Aptos Narrow"/>
    </font>
    <font>
      <u/>
      <sz val="9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sz val="9.0"/>
      <color theme="1"/>
      <name val="Aptos Narrow"/>
      <scheme val="minor"/>
    </font>
    <font>
      <i/>
      <sz val="9.0"/>
      <color theme="1"/>
      <name val="Aptos Narrow"/>
    </font>
    <font>
      <b/>
      <i/>
      <sz val="9.0"/>
      <color theme="1"/>
      <name val="Aptos Narrow"/>
    </font>
    <font>
      <b/>
      <sz val="10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horizontal="left"/>
    </xf>
    <xf borderId="0" fillId="0" fontId="4" numFmtId="164" xfId="0" applyAlignment="1" applyFont="1" applyNumberFormat="1">
      <alignment horizontal="center"/>
    </xf>
    <xf borderId="0" fillId="0" fontId="3" numFmtId="15" xfId="0" applyAlignment="1" applyFont="1" applyNumberFormat="1">
      <alignment horizontal="center"/>
    </xf>
    <xf borderId="1" fillId="2" fontId="4" numFmtId="15" xfId="0" applyAlignment="1" applyBorder="1" applyFill="1" applyFont="1" applyNumberFormat="1">
      <alignment horizontal="center"/>
    </xf>
    <xf borderId="2" fillId="0" fontId="5" numFmtId="0" xfId="0" applyBorder="1" applyFont="1"/>
    <xf borderId="3" fillId="0" fontId="5" numFmtId="0" xfId="0" applyBorder="1" applyFont="1"/>
    <xf borderId="0" fillId="0" fontId="6" numFmtId="4" xfId="0" applyFont="1" applyNumberFormat="1"/>
    <xf borderId="0" fillId="0" fontId="1" numFmtId="15" xfId="0" applyFont="1" applyNumberFormat="1"/>
    <xf borderId="0" fillId="0" fontId="2" numFmtId="15" xfId="0" applyAlignment="1" applyFont="1" applyNumberFormat="1">
      <alignment horizontal="center"/>
    </xf>
    <xf borderId="0" fillId="0" fontId="7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4" fillId="2" fontId="1" numFmtId="164" xfId="0" applyAlignment="1" applyBorder="1" applyFont="1" applyNumberForma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4" fillId="3" fontId="1" numFmtId="164" xfId="0" applyAlignment="1" applyBorder="1" applyFill="1" applyFont="1" applyNumberFormat="1">
      <alignment horizontal="center" vertical="center"/>
    </xf>
    <xf borderId="7" fillId="0" fontId="5" numFmtId="0" xfId="0" applyBorder="1" applyFont="1"/>
    <xf borderId="8" fillId="0" fontId="1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9" fillId="0" fontId="1" numFmtId="164" xfId="0" applyAlignment="1" applyBorder="1" applyFont="1" applyNumberFormat="1">
      <alignment horizontal="center"/>
    </xf>
    <xf borderId="0" fillId="0" fontId="9" numFmtId="164" xfId="0" applyAlignment="1" applyFont="1" applyNumberFormat="1">
      <alignment horizontal="center"/>
    </xf>
    <xf borderId="0" fillId="0" fontId="10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left"/>
    </xf>
    <xf borderId="0" fillId="0" fontId="11" numFmtId="164" xfId="0" applyAlignment="1" applyFont="1" applyNumberFormat="1">
      <alignment horizontal="center"/>
    </xf>
    <xf borderId="0" fillId="0" fontId="12" numFmtId="164" xfId="0" applyAlignment="1" applyFont="1" applyNumberFormat="1">
      <alignment horizontal="left" readingOrder="0" vertical="center"/>
    </xf>
    <xf borderId="0" fillId="0" fontId="13" numFmtId="164" xfId="0" applyAlignment="1" applyFont="1" applyNumberFormat="1">
      <alignment horizontal="left" readingOrder="0" vertical="center"/>
    </xf>
    <xf borderId="0" fillId="0" fontId="2" numFmtId="164" xfId="0" applyAlignment="1" applyFont="1" applyNumberFormat="1">
      <alignment horizontal="left"/>
    </xf>
    <xf borderId="0" fillId="0" fontId="6" numFmtId="0" xfId="0" applyFont="1"/>
    <xf borderId="0" fillId="4" fontId="6" numFmtId="0" xfId="0" applyFill="1" applyFont="1"/>
    <xf borderId="0" fillId="4" fontId="2" numFmtId="164" xfId="0" applyFont="1" applyNumberFormat="1"/>
    <xf borderId="0" fillId="4" fontId="14" numFmtId="164" xfId="0" applyAlignment="1" applyFont="1" applyNumberFormat="1">
      <alignment readingOrder="0"/>
    </xf>
    <xf borderId="0" fillId="5" fontId="6" numFmtId="0" xfId="0" applyFill="1" applyFont="1"/>
    <xf borderId="0" fillId="5" fontId="2" numFmtId="164" xfId="0" applyFont="1" applyNumberFormat="1"/>
    <xf borderId="0" fillId="5" fontId="14" numFmtId="164" xfId="0" applyAlignment="1" applyFont="1" applyNumberFormat="1">
      <alignment readingOrder="0"/>
    </xf>
    <xf borderId="0" fillId="0" fontId="14" numFmtId="164" xfId="0" applyAlignment="1" applyFont="1" applyNumberFormat="1">
      <alignment readingOrder="0"/>
    </xf>
    <xf borderId="0" fillId="0" fontId="15" numFmtId="0" xfId="0" applyAlignment="1" applyFont="1">
      <alignment horizontal="left" vertical="center"/>
    </xf>
    <xf borderId="0" fillId="0" fontId="10" numFmtId="164" xfId="0" applyAlignment="1" applyFont="1" applyNumberFormat="1">
      <alignment horizontal="left" readingOrder="0" vertical="center"/>
    </xf>
    <xf borderId="10" fillId="0" fontId="1" numFmtId="164" xfId="0" applyBorder="1" applyFont="1" applyNumberFormat="1"/>
    <xf borderId="0" fillId="0" fontId="1" numFmtId="164" xfId="0" applyFont="1" applyNumberFormat="1"/>
    <xf borderId="0" fillId="0" fontId="16" numFmtId="164" xfId="0" applyAlignment="1" applyFont="1" applyNumberFormat="1">
      <alignment horizontal="left" readingOrder="0" vertical="center"/>
    </xf>
    <xf borderId="0" fillId="0" fontId="17" numFmtId="164" xfId="0" applyAlignment="1" applyFont="1" applyNumberFormat="1">
      <alignment horizontal="center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horizontal="center" readingOrder="0" shrinkToFit="0" vertical="center" wrapText="1"/>
    </xf>
    <xf borderId="0" fillId="6" fontId="18" numFmtId="0" xfId="0" applyAlignment="1" applyFill="1" applyFont="1">
      <alignment horizontal="center" readingOrder="0"/>
    </xf>
    <xf borderId="4" fillId="7" fontId="1" numFmtId="164" xfId="0" applyAlignment="1" applyBorder="1" applyFill="1" applyFont="1" applyNumberFormat="1">
      <alignment horizontal="center" vertical="center"/>
    </xf>
    <xf borderId="4" fillId="8" fontId="1" numFmtId="164" xfId="0" applyAlignment="1" applyBorder="1" applyFill="1" applyFont="1" applyNumberFormat="1">
      <alignment horizontal="center" vertical="center"/>
    </xf>
    <xf borderId="0" fillId="0" fontId="18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4" fontId="2" numFmtId="164" xfId="0" applyAlignment="1" applyFont="1" applyNumberFormat="1">
      <alignment readingOrder="0"/>
    </xf>
    <xf borderId="0" fillId="4" fontId="19" numFmtId="4" xfId="0" applyAlignment="1" applyFont="1" applyNumberFormat="1">
      <alignment readingOrder="0"/>
    </xf>
    <xf borderId="0" fillId="4" fontId="6" numFmtId="4" xfId="0" applyFont="1" applyNumberFormat="1"/>
    <xf borderId="0" fillId="4" fontId="6" numFmtId="4" xfId="0" applyAlignment="1" applyFont="1" applyNumberFormat="1">
      <alignment readingOrder="0"/>
    </xf>
    <xf borderId="0" fillId="5" fontId="2" numFmtId="164" xfId="0" applyAlignment="1" applyFont="1" applyNumberFormat="1">
      <alignment readingOrder="0"/>
    </xf>
    <xf borderId="0" fillId="5" fontId="6" numFmtId="4" xfId="0" applyAlignment="1" applyFont="1" applyNumberFormat="1">
      <alignment readingOrder="0"/>
    </xf>
    <xf borderId="0" fillId="5" fontId="6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8.63"/>
    <col customWidth="1" min="3" max="5" width="10.88"/>
    <col customWidth="1" min="6" max="6" width="11.75"/>
    <col customWidth="1" min="7" max="8" width="10.88"/>
    <col customWidth="1" min="9" max="9" width="12.88"/>
    <col customWidth="1" min="10" max="11" width="10.88"/>
    <col customWidth="1" min="12" max="12" width="12.88"/>
    <col customWidth="1" min="13" max="16" width="10.88"/>
    <col customWidth="1" min="17" max="17" width="3.88"/>
    <col customWidth="1" min="18" max="20" width="19.5"/>
    <col customWidth="1" min="21" max="21" width="3.88"/>
    <col customWidth="1" min="22" max="24" width="19.5"/>
    <col customWidth="1" min="25" max="25" width="3.88"/>
    <col customWidth="1" min="26" max="28" width="19.5"/>
    <col customWidth="1" min="29" max="29" width="3.88"/>
    <col customWidth="1" min="30" max="31" width="19.5"/>
    <col customWidth="1" min="32" max="32" width="3.88"/>
    <col customWidth="1" min="33" max="33" width="19.5"/>
    <col customWidth="1" min="34" max="34" width="3.88"/>
  </cols>
  <sheetData>
    <row r="1" ht="14.2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4.25" customHeight="1">
      <c r="A2" s="1"/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4.25" customHeight="1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4.25" customHeight="1">
      <c r="A4" s="1"/>
      <c r="B4" s="1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4.2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ht="14.25" customHeight="1">
      <c r="A6" s="3"/>
      <c r="B6" s="3" t="s">
        <v>2</v>
      </c>
      <c r="C6" s="4"/>
      <c r="D6" s="5" t="s">
        <v>3</v>
      </c>
      <c r="E6" s="6"/>
      <c r="F6" s="7"/>
      <c r="G6" s="8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S6" s="3"/>
      <c r="T6" s="3"/>
      <c r="U6" s="3"/>
      <c r="V6" s="9"/>
      <c r="W6" s="9"/>
      <c r="X6" s="9"/>
      <c r="Y6" s="3"/>
      <c r="Z6" s="9"/>
      <c r="AA6" s="9"/>
      <c r="AB6" s="9"/>
      <c r="AC6" s="3"/>
      <c r="AD6" s="3"/>
      <c r="AE6" s="3"/>
      <c r="AF6" s="3"/>
      <c r="AG6" s="3"/>
      <c r="AH6" s="3"/>
    </row>
    <row r="7" ht="14.25" customHeight="1">
      <c r="A7" s="1"/>
      <c r="B7" s="1"/>
      <c r="C7" s="2"/>
      <c r="D7" s="10"/>
      <c r="E7" s="11"/>
      <c r="F7" s="11"/>
      <c r="G7" s="11"/>
      <c r="H7" s="2"/>
      <c r="I7" s="2"/>
      <c r="J7" s="2"/>
      <c r="K7" s="2"/>
      <c r="M7" s="2"/>
      <c r="N7" s="2"/>
      <c r="O7" s="2"/>
      <c r="P7" s="2"/>
      <c r="Q7" s="1"/>
      <c r="R7" s="1"/>
      <c r="S7" s="1"/>
      <c r="T7" s="1"/>
      <c r="U7" s="1"/>
      <c r="V7" s="9"/>
      <c r="W7" s="9"/>
      <c r="X7" s="9"/>
      <c r="Y7" s="1"/>
      <c r="Z7" s="9"/>
      <c r="AA7" s="9"/>
      <c r="AB7" s="9"/>
      <c r="AC7" s="1"/>
      <c r="AD7" s="1"/>
      <c r="AE7" s="1"/>
      <c r="AF7" s="1"/>
      <c r="AG7" s="1"/>
      <c r="AH7" s="1"/>
    </row>
    <row r="8" ht="14.25" customHeigh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M8" s="2"/>
      <c r="N8" s="2"/>
      <c r="O8" s="2"/>
      <c r="P8" s="2"/>
      <c r="Q8" s="1"/>
      <c r="R8" s="1"/>
      <c r="S8" s="1"/>
      <c r="T8" s="1"/>
      <c r="U8" s="1"/>
      <c r="V8" s="9"/>
      <c r="W8" s="9"/>
      <c r="X8" s="9"/>
      <c r="Y8" s="1"/>
      <c r="Z8" s="9"/>
      <c r="AA8" s="9"/>
      <c r="AB8" s="9"/>
      <c r="AC8" s="1"/>
      <c r="AD8" s="1"/>
      <c r="AE8" s="1"/>
      <c r="AF8" s="1"/>
      <c r="AG8" s="1"/>
      <c r="AH8" s="1"/>
    </row>
    <row r="9" ht="14.25" customHeight="1">
      <c r="A9" s="12"/>
      <c r="B9" s="12" t="s">
        <v>4</v>
      </c>
      <c r="C9" s="13"/>
      <c r="D9" s="14" t="s">
        <v>5</v>
      </c>
      <c r="E9" s="15"/>
      <c r="F9" s="16"/>
      <c r="G9" s="17" t="s">
        <v>6</v>
      </c>
      <c r="H9" s="15"/>
      <c r="I9" s="18"/>
      <c r="J9" s="19" t="s">
        <v>7</v>
      </c>
      <c r="K9" s="20"/>
      <c r="L9" s="21" t="s">
        <v>8</v>
      </c>
      <c r="M9" s="20"/>
      <c r="N9" s="20"/>
      <c r="O9" s="20"/>
      <c r="P9" s="20"/>
      <c r="Q9" s="12"/>
      <c r="R9" s="12"/>
      <c r="S9" s="12"/>
      <c r="T9" s="12"/>
      <c r="U9" s="12"/>
      <c r="V9" s="9"/>
      <c r="W9" s="9"/>
      <c r="X9" s="9"/>
      <c r="Y9" s="12"/>
      <c r="Z9" s="9"/>
      <c r="AA9" s="9"/>
      <c r="AB9" s="9"/>
      <c r="AC9" s="12"/>
      <c r="AD9" s="12"/>
      <c r="AE9" s="12"/>
      <c r="AF9" s="12"/>
      <c r="AG9" s="12"/>
      <c r="AH9" s="12"/>
    </row>
    <row r="10" ht="14.25" customHeight="1">
      <c r="A10" s="22"/>
      <c r="B10" s="22"/>
      <c r="C10" s="23" t="s">
        <v>9</v>
      </c>
      <c r="D10" s="23" t="s">
        <v>10</v>
      </c>
      <c r="E10" s="23" t="s">
        <v>11</v>
      </c>
      <c r="F10" s="23" t="s">
        <v>12</v>
      </c>
      <c r="G10" s="23" t="s">
        <v>10</v>
      </c>
      <c r="H10" s="23" t="s">
        <v>11</v>
      </c>
      <c r="I10" s="23" t="s">
        <v>12</v>
      </c>
      <c r="J10" s="24" t="s">
        <v>13</v>
      </c>
      <c r="K10" s="25"/>
      <c r="L10" s="26"/>
      <c r="M10" s="27"/>
      <c r="N10" s="27"/>
      <c r="O10" s="27"/>
      <c r="P10" s="27"/>
      <c r="Q10" s="22"/>
      <c r="R10" s="22"/>
      <c r="S10" s="22"/>
      <c r="T10" s="22"/>
      <c r="U10" s="22"/>
      <c r="V10" s="9"/>
      <c r="W10" s="9"/>
      <c r="X10" s="9"/>
      <c r="Y10" s="22"/>
      <c r="Z10" s="9"/>
      <c r="AA10" s="9"/>
      <c r="AB10" s="9"/>
      <c r="AC10" s="22"/>
      <c r="AD10" s="22"/>
      <c r="AE10" s="22"/>
      <c r="AF10" s="22"/>
      <c r="AG10" s="22"/>
      <c r="AH10" s="22"/>
    </row>
    <row r="11" ht="14.25" customHeight="1">
      <c r="A11" s="1"/>
      <c r="B11" s="1"/>
      <c r="C11" s="23" t="s">
        <v>14</v>
      </c>
      <c r="D11" s="23" t="s">
        <v>14</v>
      </c>
      <c r="E11" s="23" t="s">
        <v>14</v>
      </c>
      <c r="F11" s="23" t="s">
        <v>14</v>
      </c>
      <c r="G11" s="23" t="s">
        <v>14</v>
      </c>
      <c r="H11" s="23" t="s">
        <v>14</v>
      </c>
      <c r="I11" s="23" t="s">
        <v>14</v>
      </c>
      <c r="J11" s="28" t="s">
        <v>14</v>
      </c>
      <c r="K11" s="25"/>
      <c r="L11" s="29" t="s">
        <v>15</v>
      </c>
      <c r="M11" s="27"/>
      <c r="N11" s="27"/>
      <c r="O11" s="27"/>
      <c r="P11" s="27"/>
      <c r="Q11" s="1"/>
      <c r="R11" s="1"/>
      <c r="S11" s="1"/>
      <c r="T11" s="1"/>
      <c r="U11" s="1"/>
      <c r="V11" s="9"/>
      <c r="W11" s="9"/>
      <c r="X11" s="9"/>
      <c r="Y11" s="1"/>
      <c r="Z11" s="9"/>
      <c r="AA11" s="9"/>
      <c r="AB11" s="9"/>
      <c r="AC11" s="1"/>
      <c r="AD11" s="1"/>
      <c r="AE11" s="1"/>
      <c r="AF11" s="1"/>
      <c r="AG11" s="1"/>
      <c r="AH11" s="1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30"/>
      <c r="M12" s="31"/>
      <c r="N12" s="31"/>
      <c r="O12" s="31"/>
      <c r="P12" s="31"/>
      <c r="V12" s="9"/>
      <c r="W12" s="9"/>
      <c r="X12" s="9"/>
      <c r="Z12" s="9"/>
      <c r="AA12" s="9"/>
      <c r="AB12" s="9"/>
      <c r="AD12" s="1"/>
      <c r="AE12" s="1"/>
    </row>
    <row r="13" ht="14.25" customHeight="1">
      <c r="B13" s="32" t="s">
        <v>16</v>
      </c>
      <c r="C13" s="2" t="str">
        <f t="shared" ref="C13:C19" si="1">D13</f>
        <v/>
      </c>
      <c r="D13" s="2"/>
      <c r="E13" s="2"/>
      <c r="F13" s="2">
        <f t="shared" ref="F13:F19" si="2">D13-E13</f>
        <v>0</v>
      </c>
      <c r="G13" s="2">
        <f t="shared" ref="G13:G19" si="3">H13+I13</f>
        <v>0</v>
      </c>
      <c r="H13" s="2"/>
      <c r="I13" s="2"/>
      <c r="J13" s="2">
        <f t="shared" ref="J13:J19" si="4">C13-G13</f>
        <v>0</v>
      </c>
      <c r="K13" s="2"/>
      <c r="L13" s="30" t="s">
        <v>17</v>
      </c>
      <c r="M13" s="31"/>
      <c r="N13" s="31"/>
      <c r="O13" s="31"/>
      <c r="P13" s="31"/>
      <c r="V13" s="9"/>
      <c r="W13" s="9"/>
      <c r="X13" s="9"/>
      <c r="Z13" s="9"/>
      <c r="AA13" s="9"/>
      <c r="AB13" s="9"/>
      <c r="AD13" s="1"/>
      <c r="AE13" s="1"/>
    </row>
    <row r="14" ht="14.25" customHeight="1">
      <c r="B14" s="33" t="s">
        <v>18</v>
      </c>
      <c r="C14" s="34">
        <f t="shared" si="1"/>
        <v>0</v>
      </c>
      <c r="D14" s="35">
        <v>0.0</v>
      </c>
      <c r="E14" s="35">
        <v>0.0</v>
      </c>
      <c r="F14" s="34">
        <f t="shared" si="2"/>
        <v>0</v>
      </c>
      <c r="G14" s="34">
        <f t="shared" si="3"/>
        <v>0</v>
      </c>
      <c r="H14" s="35">
        <v>0.0</v>
      </c>
      <c r="I14" s="35">
        <v>0.0</v>
      </c>
      <c r="J14" s="34">
        <f t="shared" si="4"/>
        <v>0</v>
      </c>
      <c r="K14" s="2"/>
      <c r="L14" s="30" t="s">
        <v>19</v>
      </c>
      <c r="M14" s="31"/>
      <c r="N14" s="31"/>
      <c r="O14" s="31"/>
      <c r="P14" s="31"/>
      <c r="V14" s="9"/>
      <c r="W14" s="9"/>
      <c r="X14" s="9"/>
      <c r="Z14" s="9"/>
      <c r="AA14" s="9"/>
      <c r="AB14" s="9"/>
      <c r="AD14" s="1"/>
      <c r="AE14" s="1"/>
    </row>
    <row r="15" ht="14.25" customHeight="1">
      <c r="B15" s="36" t="s">
        <v>20</v>
      </c>
      <c r="C15" s="37">
        <f t="shared" si="1"/>
        <v>0</v>
      </c>
      <c r="D15" s="38">
        <v>0.0</v>
      </c>
      <c r="E15" s="38">
        <v>0.0</v>
      </c>
      <c r="F15" s="37">
        <f t="shared" si="2"/>
        <v>0</v>
      </c>
      <c r="G15" s="37">
        <f t="shared" si="3"/>
        <v>0</v>
      </c>
      <c r="H15" s="38">
        <v>0.0</v>
      </c>
      <c r="I15" s="38">
        <v>0.0</v>
      </c>
      <c r="J15" s="37">
        <f t="shared" si="4"/>
        <v>0</v>
      </c>
      <c r="K15" s="2"/>
      <c r="L15" s="30" t="s">
        <v>21</v>
      </c>
      <c r="M15" s="31"/>
      <c r="N15" s="31"/>
      <c r="O15" s="31"/>
      <c r="P15" s="31"/>
      <c r="V15" s="9"/>
      <c r="W15" s="9"/>
      <c r="X15" s="9"/>
      <c r="Z15" s="9"/>
      <c r="AA15" s="9"/>
      <c r="AB15" s="9"/>
      <c r="AD15" s="1"/>
      <c r="AE15" s="1"/>
    </row>
    <row r="16" ht="14.25" customHeight="1">
      <c r="B16" s="32" t="s">
        <v>22</v>
      </c>
      <c r="C16" s="2" t="str">
        <f t="shared" si="1"/>
        <v/>
      </c>
      <c r="D16" s="39"/>
      <c r="E16" s="39"/>
      <c r="F16" s="2">
        <f t="shared" si="2"/>
        <v>0</v>
      </c>
      <c r="G16" s="2">
        <f t="shared" si="3"/>
        <v>0</v>
      </c>
      <c r="H16" s="39"/>
      <c r="I16" s="39"/>
      <c r="J16" s="2">
        <f t="shared" si="4"/>
        <v>0</v>
      </c>
      <c r="K16" s="2"/>
      <c r="L16" s="40"/>
      <c r="M16" s="31"/>
      <c r="N16" s="31"/>
      <c r="O16" s="31"/>
      <c r="P16" s="31"/>
      <c r="V16" s="9"/>
      <c r="W16" s="9"/>
      <c r="X16" s="9"/>
      <c r="Z16" s="9"/>
      <c r="AA16" s="9"/>
      <c r="AB16" s="9"/>
      <c r="AD16" s="1"/>
      <c r="AE16" s="1"/>
    </row>
    <row r="17" ht="14.25" customHeight="1">
      <c r="B17" s="32" t="s">
        <v>23</v>
      </c>
      <c r="C17" s="2" t="str">
        <f t="shared" si="1"/>
        <v/>
      </c>
      <c r="D17" s="2"/>
      <c r="E17" s="2"/>
      <c r="F17" s="2">
        <f t="shared" si="2"/>
        <v>0</v>
      </c>
      <c r="G17" s="2">
        <f t="shared" si="3"/>
        <v>0</v>
      </c>
      <c r="H17" s="2"/>
      <c r="I17" s="2"/>
      <c r="J17" s="2">
        <f t="shared" si="4"/>
        <v>0</v>
      </c>
      <c r="K17" s="2"/>
      <c r="L17" s="29" t="s">
        <v>24</v>
      </c>
      <c r="M17" s="31"/>
      <c r="N17" s="31"/>
      <c r="O17" s="31"/>
      <c r="P17" s="31"/>
      <c r="V17" s="9"/>
      <c r="W17" s="9"/>
      <c r="X17" s="9"/>
      <c r="Z17" s="9"/>
      <c r="AA17" s="9"/>
      <c r="AB17" s="9"/>
      <c r="AD17" s="1"/>
      <c r="AE17" s="1"/>
    </row>
    <row r="18" ht="14.25" customHeight="1">
      <c r="B18" s="32" t="s">
        <v>25</v>
      </c>
      <c r="C18" s="2" t="str">
        <f t="shared" si="1"/>
        <v/>
      </c>
      <c r="D18" s="2"/>
      <c r="E18" s="2"/>
      <c r="F18" s="2">
        <f t="shared" si="2"/>
        <v>0</v>
      </c>
      <c r="G18" s="2">
        <f t="shared" si="3"/>
        <v>0</v>
      </c>
      <c r="H18" s="2"/>
      <c r="I18" s="2"/>
      <c r="J18" s="2">
        <f t="shared" si="4"/>
        <v>0</v>
      </c>
      <c r="K18" s="2"/>
      <c r="L18" s="26"/>
      <c r="M18" s="31"/>
      <c r="N18" s="31"/>
      <c r="O18" s="31"/>
      <c r="P18" s="31"/>
      <c r="V18" s="9"/>
      <c r="W18" s="9"/>
      <c r="X18" s="9"/>
      <c r="Z18" s="9"/>
      <c r="AA18" s="9"/>
      <c r="AB18" s="9"/>
      <c r="AD18" s="1"/>
      <c r="AE18" s="1"/>
    </row>
    <row r="19" ht="14.25" customHeight="1">
      <c r="B19" s="32" t="s">
        <v>26</v>
      </c>
      <c r="C19" s="2" t="str">
        <f t="shared" si="1"/>
        <v/>
      </c>
      <c r="D19" s="2"/>
      <c r="E19" s="2"/>
      <c r="F19" s="2">
        <f t="shared" si="2"/>
        <v>0</v>
      </c>
      <c r="G19" s="2">
        <f t="shared" si="3"/>
        <v>0</v>
      </c>
      <c r="H19" s="2"/>
      <c r="I19" s="2"/>
      <c r="J19" s="2">
        <f t="shared" si="4"/>
        <v>0</v>
      </c>
      <c r="K19" s="2"/>
      <c r="L19" s="41" t="s">
        <v>27</v>
      </c>
      <c r="M19" s="31"/>
      <c r="N19" s="31"/>
      <c r="O19" s="31"/>
      <c r="P19" s="31"/>
      <c r="V19" s="9"/>
      <c r="W19" s="9"/>
      <c r="X19" s="9"/>
      <c r="Z19" s="1"/>
      <c r="AA19" s="1"/>
      <c r="AB19" s="1"/>
      <c r="AD19" s="1"/>
      <c r="AE19" s="1"/>
    </row>
    <row r="20" ht="14.25" customHeight="1">
      <c r="A20" s="1"/>
      <c r="B20" s="1" t="s">
        <v>28</v>
      </c>
      <c r="C20" s="42">
        <f t="shared" ref="C20:J20" si="5">SUM(C13:C19)</f>
        <v>0</v>
      </c>
      <c r="D20" s="42">
        <f t="shared" si="5"/>
        <v>0</v>
      </c>
      <c r="E20" s="42">
        <f t="shared" si="5"/>
        <v>0</v>
      </c>
      <c r="F20" s="42">
        <f t="shared" si="5"/>
        <v>0</v>
      </c>
      <c r="G20" s="42">
        <f t="shared" si="5"/>
        <v>0</v>
      </c>
      <c r="H20" s="42">
        <f t="shared" si="5"/>
        <v>0</v>
      </c>
      <c r="I20" s="42">
        <f t="shared" si="5"/>
        <v>0</v>
      </c>
      <c r="J20" s="42">
        <f t="shared" si="5"/>
        <v>0</v>
      </c>
      <c r="K20" s="43"/>
      <c r="L20" s="44" t="s">
        <v>29</v>
      </c>
      <c r="M20" s="43"/>
      <c r="N20" s="43"/>
      <c r="O20" s="43"/>
      <c r="P20" s="43"/>
      <c r="Q20" s="1"/>
      <c r="R20" s="1"/>
      <c r="S20" s="1"/>
      <c r="T20" s="1"/>
      <c r="U20" s="1"/>
      <c r="V20" s="9"/>
      <c r="W20" s="9"/>
      <c r="X20" s="9"/>
      <c r="Y20" s="1"/>
      <c r="AC20" s="1"/>
      <c r="AD20" s="1"/>
      <c r="AE20" s="1"/>
      <c r="AF20" s="1"/>
      <c r="AG20" s="1"/>
      <c r="AH20" s="1"/>
    </row>
    <row r="21" ht="14.25" customHeight="1">
      <c r="A21" s="45"/>
      <c r="B21" s="45" t="s">
        <v>30</v>
      </c>
      <c r="C21" s="45"/>
      <c r="D21" s="45"/>
      <c r="E21" s="45" t="s">
        <v>31</v>
      </c>
      <c r="F21" s="45" t="s">
        <v>32</v>
      </c>
      <c r="G21" s="45"/>
      <c r="H21" s="45" t="s">
        <v>33</v>
      </c>
      <c r="I21" s="45" t="s">
        <v>34</v>
      </c>
      <c r="J21" s="45" t="s">
        <v>35</v>
      </c>
      <c r="K21" s="45"/>
      <c r="M21" s="45"/>
      <c r="N21" s="45"/>
      <c r="O21" s="45"/>
      <c r="P21" s="45"/>
      <c r="Q21" s="45"/>
      <c r="R21" s="45"/>
      <c r="S21" s="45"/>
      <c r="T21" s="45"/>
      <c r="U21" s="45"/>
      <c r="V21" s="9"/>
      <c r="W21" s="9"/>
      <c r="X21" s="9"/>
      <c r="Y21" s="45"/>
      <c r="AC21" s="45"/>
      <c r="AF21" s="45"/>
      <c r="AG21" s="45"/>
      <c r="AH21" s="45"/>
    </row>
    <row r="22" ht="14.25" customHeight="1">
      <c r="A22" s="1"/>
      <c r="B22" s="1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1"/>
      <c r="R22" s="46" t="s">
        <v>36</v>
      </c>
      <c r="U22" s="1"/>
      <c r="V22" s="46" t="s">
        <v>37</v>
      </c>
      <c r="Y22" s="1"/>
      <c r="Z22" s="46" t="s">
        <v>38</v>
      </c>
      <c r="AC22" s="1"/>
      <c r="AD22" s="46" t="s">
        <v>39</v>
      </c>
      <c r="AF22" s="1"/>
      <c r="AG22" s="47" t="s">
        <v>40</v>
      </c>
      <c r="AH22" s="46"/>
    </row>
    <row r="23" ht="14.25" customHeight="1">
      <c r="A23" s="1"/>
      <c r="B23" s="1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1"/>
      <c r="R23" s="48" t="s">
        <v>41</v>
      </c>
      <c r="S23" s="1"/>
      <c r="T23" s="1"/>
      <c r="U23" s="1"/>
      <c r="V23" s="1"/>
      <c r="W23" s="48" t="s">
        <v>41</v>
      </c>
      <c r="X23" s="1"/>
      <c r="Y23" s="1"/>
      <c r="AA23" s="48" t="s">
        <v>41</v>
      </c>
      <c r="AC23" s="1"/>
      <c r="AF23" s="1"/>
      <c r="AH23" s="1"/>
    </row>
    <row r="24" ht="14.25" customHeight="1">
      <c r="A24" s="12"/>
      <c r="B24" s="12" t="s">
        <v>42</v>
      </c>
      <c r="C24" s="20"/>
      <c r="D24" s="14" t="s">
        <v>5</v>
      </c>
      <c r="E24" s="15"/>
      <c r="F24" s="16"/>
      <c r="G24" s="49" t="s">
        <v>43</v>
      </c>
      <c r="H24" s="15"/>
      <c r="I24" s="16"/>
      <c r="J24" s="50" t="s">
        <v>44</v>
      </c>
      <c r="K24" s="15"/>
      <c r="L24" s="18"/>
      <c r="M24" s="17" t="s">
        <v>6</v>
      </c>
      <c r="N24" s="15"/>
      <c r="O24" s="18"/>
      <c r="P24" s="19" t="s">
        <v>7</v>
      </c>
      <c r="Q24" s="12"/>
      <c r="R24" s="47" t="s">
        <v>45</v>
      </c>
      <c r="S24" s="47" t="s">
        <v>46</v>
      </c>
      <c r="T24" s="47" t="s">
        <v>47</v>
      </c>
      <c r="U24" s="12"/>
      <c r="V24" s="47" t="s">
        <v>48</v>
      </c>
      <c r="W24" s="47" t="s">
        <v>49</v>
      </c>
      <c r="X24" s="47" t="s">
        <v>47</v>
      </c>
      <c r="Y24" s="12"/>
      <c r="Z24" s="47" t="s">
        <v>50</v>
      </c>
      <c r="AA24" s="47" t="s">
        <v>51</v>
      </c>
      <c r="AB24" s="47" t="s">
        <v>47</v>
      </c>
      <c r="AC24" s="12"/>
      <c r="AD24" s="51" t="s">
        <v>52</v>
      </c>
      <c r="AE24" s="51" t="s">
        <v>53</v>
      </c>
      <c r="AF24" s="12"/>
      <c r="AG24" s="12"/>
      <c r="AH24" s="12"/>
    </row>
    <row r="25" ht="14.25" customHeight="1">
      <c r="A25" s="22"/>
      <c r="B25" s="22"/>
      <c r="C25" s="23" t="s">
        <v>9</v>
      </c>
      <c r="D25" s="23" t="s">
        <v>10</v>
      </c>
      <c r="E25" s="23" t="s">
        <v>11</v>
      </c>
      <c r="F25" s="23" t="s">
        <v>12</v>
      </c>
      <c r="G25" s="23" t="s">
        <v>10</v>
      </c>
      <c r="H25" s="23" t="s">
        <v>11</v>
      </c>
      <c r="I25" s="23" t="s">
        <v>12</v>
      </c>
      <c r="J25" s="23" t="s">
        <v>10</v>
      </c>
      <c r="K25" s="23" t="s">
        <v>11</v>
      </c>
      <c r="L25" s="23" t="s">
        <v>12</v>
      </c>
      <c r="M25" s="23" t="s">
        <v>54</v>
      </c>
      <c r="N25" s="23" t="s">
        <v>11</v>
      </c>
      <c r="O25" s="23" t="s">
        <v>12</v>
      </c>
      <c r="P25" s="24" t="s">
        <v>13</v>
      </c>
      <c r="Q25" s="22"/>
      <c r="U25" s="22"/>
      <c r="Y25" s="22"/>
      <c r="AC25" s="22"/>
      <c r="AF25" s="22"/>
      <c r="AG25" s="22"/>
      <c r="AH25" s="22"/>
    </row>
    <row r="26" ht="14.25" customHeight="1">
      <c r="A26" s="52"/>
      <c r="B26" s="52"/>
      <c r="C26" s="23" t="s">
        <v>14</v>
      </c>
      <c r="D26" s="23" t="s">
        <v>14</v>
      </c>
      <c r="E26" s="23" t="s">
        <v>14</v>
      </c>
      <c r="F26" s="23" t="s">
        <v>14</v>
      </c>
      <c r="G26" s="23" t="s">
        <v>14</v>
      </c>
      <c r="H26" s="23" t="s">
        <v>14</v>
      </c>
      <c r="I26" s="23" t="s">
        <v>14</v>
      </c>
      <c r="J26" s="23" t="s">
        <v>14</v>
      </c>
      <c r="K26" s="23" t="s">
        <v>14</v>
      </c>
      <c r="L26" s="23" t="s">
        <v>14</v>
      </c>
      <c r="M26" s="23" t="s">
        <v>14</v>
      </c>
      <c r="N26" s="23" t="s">
        <v>14</v>
      </c>
      <c r="O26" s="23" t="s">
        <v>14</v>
      </c>
      <c r="P26" s="28" t="s">
        <v>14</v>
      </c>
      <c r="Q26" s="52"/>
      <c r="U26" s="52"/>
      <c r="Y26" s="52"/>
      <c r="AC26" s="52"/>
      <c r="AF26" s="52"/>
      <c r="AG26" s="52"/>
      <c r="AH26" s="5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R27" s="9"/>
      <c r="S27" s="9" t="str">
        <f t="shared" ref="S27:T27" si="6">G27</f>
        <v/>
      </c>
      <c r="T27" s="9" t="str">
        <f t="shared" si="6"/>
        <v/>
      </c>
      <c r="U27" s="9"/>
      <c r="V27" s="9"/>
      <c r="W27" s="9"/>
      <c r="X27" s="9"/>
      <c r="Y27" s="9"/>
      <c r="Z27" s="9"/>
      <c r="AA27" s="9"/>
      <c r="AB27" s="9"/>
      <c r="AD27" s="9"/>
      <c r="AE27" s="9"/>
    </row>
    <row r="28" ht="14.25" customHeight="1">
      <c r="B28" s="32" t="s">
        <v>16</v>
      </c>
      <c r="C28" s="2">
        <f t="shared" ref="C28:C34" si="7">D28+G28+J28</f>
        <v>0</v>
      </c>
      <c r="D28" s="2"/>
      <c r="E28" s="2"/>
      <c r="F28" s="2">
        <f t="shared" ref="F28:F34" si="8">D28-E28</f>
        <v>0</v>
      </c>
      <c r="G28" s="2"/>
      <c r="H28" s="2"/>
      <c r="I28" s="2">
        <f t="shared" ref="I28:I34" si="9">G28-H28</f>
        <v>0</v>
      </c>
      <c r="J28" s="2"/>
      <c r="K28" s="2">
        <v>0.0</v>
      </c>
      <c r="L28" s="2">
        <f t="shared" ref="L28:L34" si="10">J28-K28</f>
        <v>0</v>
      </c>
      <c r="M28" s="2">
        <f t="shared" ref="M28:M34" si="11">N28+O28</f>
        <v>0</v>
      </c>
      <c r="N28" s="2"/>
      <c r="O28" s="2"/>
      <c r="P28" s="2">
        <f t="shared" ref="P28:P34" si="12">C28-M28</f>
        <v>0</v>
      </c>
      <c r="R28" s="9"/>
      <c r="S28" s="9" t="str">
        <f t="shared" ref="S28:S34" si="13">G28</f>
        <v/>
      </c>
      <c r="T28" s="9">
        <f t="shared" ref="T28:T34" si="14">R28-S28</f>
        <v>0</v>
      </c>
      <c r="U28" s="9"/>
      <c r="V28" s="9">
        <f t="shared" ref="V28:V34" si="15">C28+C13</f>
        <v>0</v>
      </c>
      <c r="W28" s="9"/>
      <c r="X28" s="9">
        <f t="shared" ref="X28:X34" si="16">V28-W28</f>
        <v>0</v>
      </c>
      <c r="Y28" s="9"/>
      <c r="Z28" s="9">
        <f t="shared" ref="Z28:Z34" si="17">E28+H28+K28+E13</f>
        <v>0</v>
      </c>
      <c r="AA28" s="9"/>
      <c r="AB28" s="9">
        <f t="shared" ref="AB28:AB34" si="18">Z28-AA28</f>
        <v>0</v>
      </c>
      <c r="AD28" s="9" t="str">
        <f t="shared" ref="AD28:AD34" si="19">M28-(D28+J28)*(M28/C28)</f>
        <v>#DIV/0!</v>
      </c>
      <c r="AE28" s="9">
        <f t="shared" ref="AE28:AE34" si="20">J28/3.5*0.2</f>
        <v>0</v>
      </c>
      <c r="AG28" s="9">
        <f t="shared" ref="AG28:AG34" si="21">W28-M28</f>
        <v>0</v>
      </c>
    </row>
    <row r="29" ht="14.25" customHeight="1">
      <c r="A29" s="33"/>
      <c r="B29" s="33" t="s">
        <v>18</v>
      </c>
      <c r="C29" s="34">
        <f t="shared" si="7"/>
        <v>1149</v>
      </c>
      <c r="D29" s="53">
        <v>100.0</v>
      </c>
      <c r="E29" s="53">
        <v>18.0</v>
      </c>
      <c r="F29" s="34">
        <f t="shared" si="8"/>
        <v>82</v>
      </c>
      <c r="G29" s="53">
        <v>1007.0</v>
      </c>
      <c r="H29" s="53">
        <v>91.54545455</v>
      </c>
      <c r="I29" s="34">
        <f t="shared" si="9"/>
        <v>915.4545455</v>
      </c>
      <c r="J29" s="53">
        <v>42.0</v>
      </c>
      <c r="K29" s="34">
        <v>0.0</v>
      </c>
      <c r="L29" s="34">
        <f t="shared" si="10"/>
        <v>42</v>
      </c>
      <c r="M29" s="34">
        <f t="shared" si="11"/>
        <v>20.12</v>
      </c>
      <c r="N29" s="53">
        <v>3.63</v>
      </c>
      <c r="O29" s="53">
        <v>16.49</v>
      </c>
      <c r="P29" s="34">
        <f t="shared" si="12"/>
        <v>1128.88</v>
      </c>
      <c r="Q29" s="33"/>
      <c r="R29" s="54">
        <v>1007.0</v>
      </c>
      <c r="S29" s="55">
        <f t="shared" si="13"/>
        <v>1007</v>
      </c>
      <c r="T29" s="55">
        <f t="shared" si="14"/>
        <v>0</v>
      </c>
      <c r="U29" s="55"/>
      <c r="V29" s="55">
        <f t="shared" si="15"/>
        <v>1149</v>
      </c>
      <c r="W29" s="56">
        <v>1149.0</v>
      </c>
      <c r="X29" s="55">
        <f t="shared" si="16"/>
        <v>0</v>
      </c>
      <c r="Y29" s="55"/>
      <c r="Z29" s="55">
        <f t="shared" si="17"/>
        <v>109.5454546</v>
      </c>
      <c r="AA29" s="54">
        <v>109.55</v>
      </c>
      <c r="AB29" s="55">
        <f t="shared" si="18"/>
        <v>-0.00454545</v>
      </c>
      <c r="AC29" s="33"/>
      <c r="AD29" s="55">
        <f t="shared" si="19"/>
        <v>17.63345518</v>
      </c>
      <c r="AE29" s="55">
        <f t="shared" si="20"/>
        <v>2.4</v>
      </c>
      <c r="AF29" s="33"/>
      <c r="AG29" s="55">
        <f t="shared" si="21"/>
        <v>1128.88</v>
      </c>
      <c r="AH29" s="33"/>
    </row>
    <row r="30" ht="14.25" customHeight="1">
      <c r="A30" s="36"/>
      <c r="B30" s="36" t="s">
        <v>20</v>
      </c>
      <c r="C30" s="37">
        <f t="shared" si="7"/>
        <v>948</v>
      </c>
      <c r="D30" s="57">
        <v>85.0</v>
      </c>
      <c r="E30" s="57">
        <v>15.3</v>
      </c>
      <c r="F30" s="37">
        <f t="shared" si="8"/>
        <v>69.7</v>
      </c>
      <c r="G30" s="57">
        <v>851.0</v>
      </c>
      <c r="H30" s="57">
        <v>77.36363636</v>
      </c>
      <c r="I30" s="37">
        <f t="shared" si="9"/>
        <v>773.6363636</v>
      </c>
      <c r="J30" s="57">
        <v>12.0</v>
      </c>
      <c r="K30" s="37">
        <v>0.0</v>
      </c>
      <c r="L30" s="37">
        <f t="shared" si="10"/>
        <v>12</v>
      </c>
      <c r="M30" s="37">
        <f t="shared" si="11"/>
        <v>27.15</v>
      </c>
      <c r="N30" s="57">
        <v>4.89</v>
      </c>
      <c r="O30" s="57">
        <v>22.26</v>
      </c>
      <c r="P30" s="37">
        <f t="shared" si="12"/>
        <v>920.85</v>
      </c>
      <c r="Q30" s="36"/>
      <c r="R30" s="58">
        <v>851.0</v>
      </c>
      <c r="S30" s="59">
        <f t="shared" si="13"/>
        <v>851</v>
      </c>
      <c r="T30" s="59">
        <f t="shared" si="14"/>
        <v>0</v>
      </c>
      <c r="U30" s="59"/>
      <c r="V30" s="59">
        <f t="shared" si="15"/>
        <v>948</v>
      </c>
      <c r="W30" s="58">
        <v>948.0</v>
      </c>
      <c r="X30" s="59">
        <f t="shared" si="16"/>
        <v>0</v>
      </c>
      <c r="Y30" s="59"/>
      <c r="Z30" s="59">
        <f t="shared" si="17"/>
        <v>92.66363636</v>
      </c>
      <c r="AA30" s="59">
        <v>92.66363636</v>
      </c>
      <c r="AB30" s="59">
        <f t="shared" si="18"/>
        <v>0</v>
      </c>
      <c r="AC30" s="36"/>
      <c r="AD30" s="59">
        <f t="shared" si="19"/>
        <v>24.37199367</v>
      </c>
      <c r="AE30" s="59">
        <f t="shared" si="20"/>
        <v>0.6857142857</v>
      </c>
      <c r="AF30" s="36"/>
      <c r="AG30" s="59">
        <f t="shared" si="21"/>
        <v>920.85</v>
      </c>
      <c r="AH30" s="36"/>
    </row>
    <row r="31" ht="14.25" customHeight="1">
      <c r="B31" s="32" t="s">
        <v>22</v>
      </c>
      <c r="C31" s="2">
        <f t="shared" si="7"/>
        <v>0</v>
      </c>
      <c r="D31" s="39"/>
      <c r="E31" s="39"/>
      <c r="F31" s="2">
        <f t="shared" si="8"/>
        <v>0</v>
      </c>
      <c r="G31" s="39"/>
      <c r="H31" s="39"/>
      <c r="I31" s="2">
        <f t="shared" si="9"/>
        <v>0</v>
      </c>
      <c r="J31" s="39"/>
      <c r="K31" s="2">
        <v>0.0</v>
      </c>
      <c r="L31" s="2">
        <f t="shared" si="10"/>
        <v>0</v>
      </c>
      <c r="M31" s="2">
        <f t="shared" si="11"/>
        <v>0</v>
      </c>
      <c r="N31" s="39"/>
      <c r="O31" s="39"/>
      <c r="P31" s="2">
        <f t="shared" si="12"/>
        <v>0</v>
      </c>
      <c r="R31" s="9"/>
      <c r="S31" s="9" t="str">
        <f t="shared" si="13"/>
        <v/>
      </c>
      <c r="T31" s="9">
        <f t="shared" si="14"/>
        <v>0</v>
      </c>
      <c r="U31" s="9"/>
      <c r="V31" s="9">
        <f t="shared" si="15"/>
        <v>0</v>
      </c>
      <c r="W31" s="9"/>
      <c r="X31" s="9">
        <f t="shared" si="16"/>
        <v>0</v>
      </c>
      <c r="Y31" s="9"/>
      <c r="Z31" s="9">
        <f t="shared" si="17"/>
        <v>0</v>
      </c>
      <c r="AA31" s="9"/>
      <c r="AB31" s="9">
        <f t="shared" si="18"/>
        <v>0</v>
      </c>
      <c r="AD31" s="9" t="str">
        <f t="shared" si="19"/>
        <v>#DIV/0!</v>
      </c>
      <c r="AE31" s="9">
        <f t="shared" si="20"/>
        <v>0</v>
      </c>
      <c r="AG31" s="9">
        <f t="shared" si="21"/>
        <v>0</v>
      </c>
    </row>
    <row r="32" ht="14.25" customHeight="1">
      <c r="B32" s="32" t="s">
        <v>23</v>
      </c>
      <c r="C32" s="2">
        <f t="shared" si="7"/>
        <v>0</v>
      </c>
      <c r="D32" s="2"/>
      <c r="E32" s="2"/>
      <c r="F32" s="2">
        <f t="shared" si="8"/>
        <v>0</v>
      </c>
      <c r="G32" s="2"/>
      <c r="H32" s="2"/>
      <c r="I32" s="2">
        <f t="shared" si="9"/>
        <v>0</v>
      </c>
      <c r="J32" s="2"/>
      <c r="K32" s="2">
        <v>0.0</v>
      </c>
      <c r="L32" s="2">
        <f t="shared" si="10"/>
        <v>0</v>
      </c>
      <c r="M32" s="2">
        <f t="shared" si="11"/>
        <v>0</v>
      </c>
      <c r="N32" s="2"/>
      <c r="O32" s="2"/>
      <c r="P32" s="2">
        <f t="shared" si="12"/>
        <v>0</v>
      </c>
      <c r="R32" s="9"/>
      <c r="S32" s="9" t="str">
        <f t="shared" si="13"/>
        <v/>
      </c>
      <c r="T32" s="9">
        <f t="shared" si="14"/>
        <v>0</v>
      </c>
      <c r="U32" s="9"/>
      <c r="V32" s="9">
        <f t="shared" si="15"/>
        <v>0</v>
      </c>
      <c r="W32" s="9"/>
      <c r="X32" s="9">
        <f t="shared" si="16"/>
        <v>0</v>
      </c>
      <c r="Y32" s="9"/>
      <c r="Z32" s="9">
        <f t="shared" si="17"/>
        <v>0</v>
      </c>
      <c r="AA32" s="9"/>
      <c r="AB32" s="9">
        <f t="shared" si="18"/>
        <v>0</v>
      </c>
      <c r="AD32" s="9" t="str">
        <f t="shared" si="19"/>
        <v>#DIV/0!</v>
      </c>
      <c r="AE32" s="9">
        <f t="shared" si="20"/>
        <v>0</v>
      </c>
      <c r="AG32" s="9">
        <f t="shared" si="21"/>
        <v>0</v>
      </c>
    </row>
    <row r="33" ht="14.25" customHeight="1">
      <c r="B33" s="32" t="s">
        <v>25</v>
      </c>
      <c r="C33" s="2">
        <f t="shared" si="7"/>
        <v>0</v>
      </c>
      <c r="D33" s="2"/>
      <c r="E33" s="2"/>
      <c r="F33" s="2">
        <f t="shared" si="8"/>
        <v>0</v>
      </c>
      <c r="G33" s="2"/>
      <c r="H33" s="2"/>
      <c r="I33" s="2">
        <f t="shared" si="9"/>
        <v>0</v>
      </c>
      <c r="J33" s="2"/>
      <c r="K33" s="2">
        <v>0.0</v>
      </c>
      <c r="L33" s="2">
        <f t="shared" si="10"/>
        <v>0</v>
      </c>
      <c r="M33" s="2">
        <f t="shared" si="11"/>
        <v>0</v>
      </c>
      <c r="N33" s="2"/>
      <c r="O33" s="2"/>
      <c r="P33" s="2">
        <f t="shared" si="12"/>
        <v>0</v>
      </c>
      <c r="R33" s="9"/>
      <c r="S33" s="9" t="str">
        <f t="shared" si="13"/>
        <v/>
      </c>
      <c r="T33" s="9">
        <f t="shared" si="14"/>
        <v>0</v>
      </c>
      <c r="U33" s="9"/>
      <c r="V33" s="9">
        <f t="shared" si="15"/>
        <v>0</v>
      </c>
      <c r="W33" s="9"/>
      <c r="X33" s="9">
        <f t="shared" si="16"/>
        <v>0</v>
      </c>
      <c r="Y33" s="9"/>
      <c r="Z33" s="9">
        <f t="shared" si="17"/>
        <v>0</v>
      </c>
      <c r="AA33" s="9"/>
      <c r="AB33" s="9">
        <f t="shared" si="18"/>
        <v>0</v>
      </c>
      <c r="AD33" s="9" t="str">
        <f t="shared" si="19"/>
        <v>#DIV/0!</v>
      </c>
      <c r="AE33" s="9">
        <f t="shared" si="20"/>
        <v>0</v>
      </c>
      <c r="AG33" s="9">
        <f t="shared" si="21"/>
        <v>0</v>
      </c>
    </row>
    <row r="34" ht="14.25" customHeight="1">
      <c r="B34" s="32" t="s">
        <v>26</v>
      </c>
      <c r="C34" s="2">
        <f t="shared" si="7"/>
        <v>0</v>
      </c>
      <c r="D34" s="2"/>
      <c r="E34" s="2"/>
      <c r="F34" s="2">
        <f t="shared" si="8"/>
        <v>0</v>
      </c>
      <c r="G34" s="2"/>
      <c r="H34" s="2"/>
      <c r="I34" s="2">
        <f t="shared" si="9"/>
        <v>0</v>
      </c>
      <c r="J34" s="2"/>
      <c r="K34" s="2">
        <v>0.0</v>
      </c>
      <c r="L34" s="2">
        <f t="shared" si="10"/>
        <v>0</v>
      </c>
      <c r="M34" s="2">
        <f t="shared" si="11"/>
        <v>0</v>
      </c>
      <c r="N34" s="2"/>
      <c r="O34" s="2"/>
      <c r="P34" s="2">
        <f t="shared" si="12"/>
        <v>0</v>
      </c>
      <c r="R34" s="9"/>
      <c r="S34" s="9" t="str">
        <f t="shared" si="13"/>
        <v/>
      </c>
      <c r="T34" s="9">
        <f t="shared" si="14"/>
        <v>0</v>
      </c>
      <c r="U34" s="9"/>
      <c r="V34" s="9">
        <f t="shared" si="15"/>
        <v>0</v>
      </c>
      <c r="W34" s="9"/>
      <c r="X34" s="9">
        <f t="shared" si="16"/>
        <v>0</v>
      </c>
      <c r="Y34" s="9"/>
      <c r="Z34" s="9">
        <f t="shared" si="17"/>
        <v>0</v>
      </c>
      <c r="AA34" s="9"/>
      <c r="AB34" s="9">
        <f t="shared" si="18"/>
        <v>0</v>
      </c>
      <c r="AD34" s="9" t="str">
        <f t="shared" si="19"/>
        <v>#DIV/0!</v>
      </c>
      <c r="AE34" s="9">
        <f t="shared" si="20"/>
        <v>0</v>
      </c>
      <c r="AG34" s="9">
        <f t="shared" si="21"/>
        <v>0</v>
      </c>
    </row>
    <row r="35" ht="14.25" customHeight="1">
      <c r="A35" s="1"/>
      <c r="B35" s="1" t="s">
        <v>28</v>
      </c>
      <c r="C35" s="42">
        <f t="shared" ref="C35:P35" si="22">SUM(C28:C34)</f>
        <v>2097</v>
      </c>
      <c r="D35" s="42">
        <f t="shared" si="22"/>
        <v>185</v>
      </c>
      <c r="E35" s="42">
        <f t="shared" si="22"/>
        <v>33.3</v>
      </c>
      <c r="F35" s="42">
        <f t="shared" si="22"/>
        <v>151.7</v>
      </c>
      <c r="G35" s="42">
        <f t="shared" si="22"/>
        <v>1858</v>
      </c>
      <c r="H35" s="42">
        <f t="shared" si="22"/>
        <v>168.9090909</v>
      </c>
      <c r="I35" s="42">
        <f t="shared" si="22"/>
        <v>1689.090909</v>
      </c>
      <c r="J35" s="42">
        <f t="shared" si="22"/>
        <v>54</v>
      </c>
      <c r="K35" s="42">
        <f t="shared" si="22"/>
        <v>0</v>
      </c>
      <c r="L35" s="42">
        <f t="shared" si="22"/>
        <v>54</v>
      </c>
      <c r="M35" s="42">
        <f t="shared" si="22"/>
        <v>47.27</v>
      </c>
      <c r="N35" s="42">
        <f t="shared" si="22"/>
        <v>8.52</v>
      </c>
      <c r="O35" s="42">
        <f t="shared" si="22"/>
        <v>38.75</v>
      </c>
      <c r="P35" s="42">
        <f t="shared" si="22"/>
        <v>2049.73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4.25" customHeight="1">
      <c r="C36" s="2"/>
      <c r="D36" s="2"/>
      <c r="E36" s="45" t="s">
        <v>31</v>
      </c>
      <c r="F36" s="45" t="s">
        <v>32</v>
      </c>
      <c r="G36" s="2"/>
      <c r="H36" s="45" t="s">
        <v>31</v>
      </c>
      <c r="I36" s="45" t="s">
        <v>55</v>
      </c>
      <c r="J36" s="2"/>
      <c r="K36" s="2"/>
      <c r="L36" s="45" t="s">
        <v>56</v>
      </c>
      <c r="M36" s="2"/>
      <c r="N36" s="45" t="s">
        <v>33</v>
      </c>
      <c r="O36" s="2"/>
      <c r="P36" s="45" t="s">
        <v>35</v>
      </c>
    </row>
    <row r="37" ht="14.25" customHeight="1"/>
  </sheetData>
  <mergeCells count="23">
    <mergeCell ref="D9:F9"/>
    <mergeCell ref="D24:F24"/>
    <mergeCell ref="E6:G6"/>
    <mergeCell ref="G9:I9"/>
    <mergeCell ref="R22:T22"/>
    <mergeCell ref="V22:X22"/>
    <mergeCell ref="Z22:AB22"/>
    <mergeCell ref="AD22:AE22"/>
    <mergeCell ref="AG22:AG23"/>
    <mergeCell ref="W24:W26"/>
    <mergeCell ref="X24:X26"/>
    <mergeCell ref="Z24:Z26"/>
    <mergeCell ref="AA24:AA26"/>
    <mergeCell ref="AB24:AB26"/>
    <mergeCell ref="AD24:AD26"/>
    <mergeCell ref="AE24:AE26"/>
    <mergeCell ref="G24:I24"/>
    <mergeCell ref="J24:L24"/>
    <mergeCell ref="M24:O24"/>
    <mergeCell ref="R24:R26"/>
    <mergeCell ref="S24:S26"/>
    <mergeCell ref="T24:T26"/>
    <mergeCell ref="V24:V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2025-11-06T12:41:03Z</dcterms:created>
  <dc:creator>Drew Wilkinson</dc:creator>
</cp:coreProperties>
</file>